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B\Desktop\Hex\"/>
    </mc:Choice>
  </mc:AlternateContent>
  <bookViews>
    <workbookView xWindow="0" yWindow="0" windowWidth="25320" windowHeight="12435"/>
  </bookViews>
  <sheets>
    <sheet name="Timing_frontend" sheetId="1" r:id="rId1"/>
  </sheets>
  <definedNames>
    <definedName name="dt">Timing_frontend!#REF!</definedName>
    <definedName name="dt_sub">Timing_frontend!#REF!</definedName>
    <definedName name="dtoff">Timing_frontend!#REF!</definedName>
    <definedName name="dtprob">Timing_frontend!#REF!</definedName>
    <definedName name="dttot">Timing_frontend!#REF!</definedName>
    <definedName name="dv">Timing_frontend!$C$2</definedName>
    <definedName name="ramp_t">Timing_frontend!#REF!</definedName>
    <definedName name="T_final">Timing_frontend!#REF!</definedName>
    <definedName name="tdelay">Timing_frontend!#REF!</definedName>
    <definedName name="toff">Timing_frontend!#REF!</definedName>
    <definedName name="tpi">Timing_frontend!#REF!</definedName>
    <definedName name="tprob">Timing_frontend!#REF!</definedName>
    <definedName name="Tsub">Timing_frontend!$F$2</definedName>
  </definedNames>
  <calcPr calcId="162913"/>
</workbook>
</file>

<file path=xl/calcChain.xml><?xml version="1.0" encoding="utf-8"?>
<calcChain xmlns="http://schemas.openxmlformats.org/spreadsheetml/2006/main">
  <c r="C24" i="1" l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C38" i="1" s="1"/>
  <c r="B23" i="1"/>
  <c r="C23" i="1" s="1"/>
  <c r="M129" i="1" l="1"/>
  <c r="A2" i="1" l="1"/>
  <c r="T138" i="1" l="1"/>
  <c r="S138" i="1"/>
  <c r="Q138" i="1"/>
  <c r="O138" i="1"/>
  <c r="R138" i="1"/>
  <c r="P138" i="1"/>
  <c r="N133" i="1"/>
</calcChain>
</file>

<file path=xl/comments1.xml><?xml version="1.0" encoding="utf-8"?>
<comments xmlns="http://schemas.openxmlformats.org/spreadsheetml/2006/main">
  <authors>
    <author>IAMS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IAMS:</t>
        </r>
        <r>
          <rPr>
            <sz val="9"/>
            <color indexed="81"/>
            <rFont val="Tahoma"/>
            <family val="2"/>
          </rPr>
          <t xml:space="preserve">
18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IAMS:</t>
        </r>
        <r>
          <rPr>
            <sz val="9"/>
            <color indexed="81"/>
            <rFont val="Tahoma"/>
            <family val="2"/>
          </rPr>
          <t xml:space="preserve">
18</t>
        </r>
      </text>
    </comment>
    <comment ref="D4" authorId="0" shapeId="0">
      <text>
        <r>
          <rPr>
            <b/>
            <sz val="9"/>
            <color indexed="81"/>
            <rFont val="Tahoma"/>
            <family val="2"/>
          </rPr>
          <t>IAMS:</t>
        </r>
        <r>
          <rPr>
            <sz val="9"/>
            <color indexed="81"/>
            <rFont val="Tahoma"/>
            <family val="2"/>
          </rPr>
          <t xml:space="preserve">
18</t>
        </r>
      </text>
    </comment>
    <comment ref="D6" authorId="0" shapeId="0">
      <text>
        <r>
          <rPr>
            <b/>
            <sz val="9"/>
            <color indexed="81"/>
            <rFont val="Tahoma"/>
            <family val="2"/>
          </rPr>
          <t>IAMS:</t>
        </r>
        <r>
          <rPr>
            <sz val="9"/>
            <color indexed="81"/>
            <rFont val="Tahoma"/>
            <family val="2"/>
          </rPr>
          <t xml:space="preserve">
18</t>
        </r>
      </text>
    </comment>
    <comment ref="D8" authorId="0" shapeId="0">
      <text>
        <r>
          <rPr>
            <b/>
            <sz val="9"/>
            <color indexed="81"/>
            <rFont val="Tahoma"/>
            <family val="2"/>
          </rPr>
          <t>IAMS:</t>
        </r>
        <r>
          <rPr>
            <sz val="9"/>
            <color indexed="81"/>
            <rFont val="Tahoma"/>
            <family val="2"/>
          </rPr>
          <t xml:space="preserve">
18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>IAMS:</t>
        </r>
        <r>
          <rPr>
            <sz val="9"/>
            <color indexed="81"/>
            <rFont val="Tahoma"/>
            <family val="2"/>
          </rPr>
          <t xml:space="preserve">
18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IAMS:</t>
        </r>
        <r>
          <rPr>
            <sz val="9"/>
            <color indexed="81"/>
            <rFont val="Tahoma"/>
            <family val="2"/>
          </rPr>
          <t xml:space="preserve">
18</t>
        </r>
      </text>
    </comment>
    <comment ref="E12" authorId="0" shapeId="0">
      <text>
        <r>
          <rPr>
            <b/>
            <sz val="9"/>
            <color indexed="81"/>
            <rFont val="Tahoma"/>
            <family val="2"/>
          </rPr>
          <t>IAMS:</t>
        </r>
        <r>
          <rPr>
            <sz val="9"/>
            <color indexed="81"/>
            <rFont val="Tahoma"/>
            <family val="2"/>
          </rPr>
          <t xml:space="preserve">
18</t>
        </r>
      </text>
    </comment>
    <comment ref="C14" authorId="0" shapeId="0">
      <text>
        <r>
          <rPr>
            <b/>
            <sz val="9"/>
            <color indexed="81"/>
            <rFont val="Tahoma"/>
            <family val="2"/>
          </rPr>
          <t>IAMS:</t>
        </r>
        <r>
          <rPr>
            <sz val="9"/>
            <color indexed="81"/>
            <rFont val="Tahoma"/>
            <family val="2"/>
          </rPr>
          <t xml:space="preserve">
18</t>
        </r>
      </text>
    </comment>
    <comment ref="E14" authorId="0" shapeId="0">
      <text>
        <r>
          <rPr>
            <b/>
            <sz val="9"/>
            <color indexed="81"/>
            <rFont val="Tahoma"/>
            <family val="2"/>
          </rPr>
          <t>IAMS:</t>
        </r>
        <r>
          <rPr>
            <sz val="9"/>
            <color indexed="81"/>
            <rFont val="Tahoma"/>
            <family val="2"/>
          </rPr>
          <t xml:space="preserve">
18</t>
        </r>
      </text>
    </comment>
    <comment ref="C16" authorId="0" shapeId="0">
      <text>
        <r>
          <rPr>
            <b/>
            <sz val="9"/>
            <color indexed="81"/>
            <rFont val="Tahoma"/>
            <family val="2"/>
          </rPr>
          <t>IAMS:</t>
        </r>
        <r>
          <rPr>
            <sz val="9"/>
            <color indexed="81"/>
            <rFont val="Tahoma"/>
            <family val="2"/>
          </rPr>
          <t xml:space="preserve">
18</t>
        </r>
      </text>
    </comment>
    <comment ref="E16" authorId="0" shapeId="0">
      <text>
        <r>
          <rPr>
            <b/>
            <sz val="9"/>
            <color indexed="81"/>
            <rFont val="Tahoma"/>
            <family val="2"/>
          </rPr>
          <t>IAMS:</t>
        </r>
        <r>
          <rPr>
            <sz val="9"/>
            <color indexed="81"/>
            <rFont val="Tahoma"/>
            <family val="2"/>
          </rPr>
          <t xml:space="preserve">
18</t>
        </r>
      </text>
    </comment>
    <comment ref="C18" authorId="0" shapeId="0">
      <text>
        <r>
          <rPr>
            <b/>
            <sz val="9"/>
            <color indexed="81"/>
            <rFont val="Tahoma"/>
            <family val="2"/>
          </rPr>
          <t>IAMS:</t>
        </r>
        <r>
          <rPr>
            <sz val="9"/>
            <color indexed="81"/>
            <rFont val="Tahoma"/>
            <family val="2"/>
          </rPr>
          <t xml:space="preserve">
18</t>
        </r>
      </text>
    </comment>
    <comment ref="E18" authorId="0" shapeId="0">
      <text>
        <r>
          <rPr>
            <b/>
            <sz val="9"/>
            <color indexed="81"/>
            <rFont val="Tahoma"/>
            <family val="2"/>
          </rPr>
          <t>IAMS:</t>
        </r>
        <r>
          <rPr>
            <sz val="9"/>
            <color indexed="81"/>
            <rFont val="Tahoma"/>
            <family val="2"/>
          </rPr>
          <t xml:space="preserve">
18</t>
        </r>
      </text>
    </comment>
  </commentList>
</comments>
</file>

<file path=xl/sharedStrings.xml><?xml version="1.0" encoding="utf-8"?>
<sst xmlns="http://schemas.openxmlformats.org/spreadsheetml/2006/main" count="69" uniqueCount="69">
  <si>
    <t>Save file name (.csv)</t>
    <phoneticPr fontId="0" type="noConversion"/>
  </si>
  <si>
    <t>ch15</t>
  </si>
  <si>
    <t>ch16</t>
  </si>
  <si>
    <t>ch17</t>
  </si>
  <si>
    <t>ch18</t>
  </si>
  <si>
    <t>ch19</t>
  </si>
  <si>
    <t>ch20</t>
  </si>
  <si>
    <t>ch21</t>
  </si>
  <si>
    <t>ch22</t>
  </si>
  <si>
    <t>Ch1</t>
    <phoneticPr fontId="0" type="noConversion"/>
  </si>
  <si>
    <t>Note:</t>
    <phoneticPr fontId="0" type="noConversion"/>
  </si>
  <si>
    <t>Voltage.txt</t>
    <phoneticPr fontId="0" type="noConversion"/>
  </si>
  <si>
    <t>Ch3</t>
  </si>
  <si>
    <t>Ch4</t>
  </si>
  <si>
    <t>Ch5</t>
  </si>
  <si>
    <t>Ch6</t>
  </si>
  <si>
    <t>Ch7</t>
  </si>
  <si>
    <t>Ch8</t>
  </si>
  <si>
    <t>Ch9</t>
  </si>
  <si>
    <t>Ch11</t>
  </si>
  <si>
    <t>Ch12</t>
  </si>
  <si>
    <t>Ch13</t>
  </si>
  <si>
    <t>Ch14</t>
  </si>
  <si>
    <t>Ch15</t>
  </si>
  <si>
    <t>Ch16</t>
  </si>
  <si>
    <t>Ch20</t>
  </si>
  <si>
    <t>Ch21</t>
  </si>
  <si>
    <t>Ch22</t>
  </si>
  <si>
    <t>Ch23</t>
  </si>
  <si>
    <t>Ch24</t>
  </si>
  <si>
    <t>Ch25</t>
  </si>
  <si>
    <t>Ch26</t>
  </si>
  <si>
    <t>Ch27</t>
  </si>
  <si>
    <t>Ch29</t>
  </si>
  <si>
    <t>Ch30</t>
  </si>
  <si>
    <t>Ch31</t>
  </si>
  <si>
    <t>Ch32</t>
  </si>
  <si>
    <t>Sample:TDA</t>
  </si>
  <si>
    <t>242.463Da</t>
  </si>
  <si>
    <t>rate:0.07ml/h</t>
  </si>
  <si>
    <t>1000 V</t>
  </si>
  <si>
    <t>3101V</t>
  </si>
  <si>
    <t>offset</t>
  </si>
  <si>
    <t>#A00C10D</t>
    <phoneticPr fontId="0" type="noConversion"/>
  </si>
  <si>
    <t>#A00C11D</t>
  </si>
  <si>
    <t>#A00C12D</t>
  </si>
  <si>
    <t>#A00C13D</t>
  </si>
  <si>
    <t>#A00C14D</t>
  </si>
  <si>
    <t>#A00C15D</t>
  </si>
  <si>
    <t>#A00C16D</t>
  </si>
  <si>
    <t>#A00C17D</t>
  </si>
  <si>
    <t>#A00C18D</t>
  </si>
  <si>
    <t>#A00C19D</t>
    <phoneticPr fontId="0" type="noConversion"/>
  </si>
  <si>
    <t>#A00C1AD</t>
    <phoneticPr fontId="0" type="noConversion"/>
  </si>
  <si>
    <t>#A00C1BD</t>
    <phoneticPr fontId="0" type="noConversion"/>
  </si>
  <si>
    <t>#A00C1CD</t>
    <phoneticPr fontId="0" type="noConversion"/>
  </si>
  <si>
    <t>#A00C1DD</t>
    <phoneticPr fontId="0" type="noConversion"/>
  </si>
  <si>
    <t>#A00C1ED</t>
    <phoneticPr fontId="0" type="noConversion"/>
  </si>
  <si>
    <t>#A00C1FD</t>
    <phoneticPr fontId="0" type="noConversion"/>
  </si>
  <si>
    <t>Ch2</t>
    <phoneticPr fontId="0" type="noConversion"/>
  </si>
  <si>
    <t>Ch10</t>
  </si>
  <si>
    <t>Ch19</t>
  </si>
  <si>
    <t>Ch17</t>
    <phoneticPr fontId="0" type="noConversion"/>
  </si>
  <si>
    <t>Ch18</t>
    <phoneticPr fontId="0" type="noConversion"/>
  </si>
  <si>
    <t>Ch28</t>
  </si>
  <si>
    <t>HexNuber</t>
    <phoneticPr fontId="0" type="noConversion"/>
  </si>
  <si>
    <t>LoopN</t>
    <phoneticPr fontId="0" type="noConversion"/>
  </si>
  <si>
    <t>dv</t>
    <phoneticPr fontId="0" type="noConversion"/>
  </si>
  <si>
    <t>Channel Command</t>
    <phoneticPr fontId="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</si>
</sst>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7">
    <font>
      <sz val="12"/>
      <name val="新細明體"/>
      <family val="1"/>
      <charset val="136"/>
    </font>
    <font>
      <sz val="12"/>
      <name val="Arial"/>
      <family val="2"/>
    </font>
    <font>
      <sz val="12"/>
      <color indexed="10"/>
      <name val="Arial"/>
      <family val="2"/>
    </font>
    <font>
      <sz val="12"/>
      <color indexed="51"/>
      <name val="Arial"/>
      <family val="2"/>
    </font>
    <font>
      <sz val="12"/>
      <color indexed="13"/>
      <name val="Arial"/>
      <family val="2"/>
    </font>
    <font>
      <sz val="12"/>
      <color indexed="11"/>
      <name val="Arial"/>
      <family val="2"/>
    </font>
    <font>
      <sz val="10"/>
      <name val="Arial"/>
      <family val="2"/>
    </font>
    <font>
      <sz val="10"/>
      <color indexed="46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0"/>
      <color indexed="51"/>
      <name val="Arial"/>
      <family val="2"/>
    </font>
    <font>
      <sz val="10"/>
      <color indexed="13"/>
      <name val="Arial"/>
      <family val="2"/>
    </font>
    <font>
      <sz val="10"/>
      <color indexed="11"/>
      <name val="Arial"/>
      <family val="2"/>
    </font>
    <font>
      <sz val="10"/>
      <color indexed="40"/>
      <name val="Arial"/>
      <family val="2"/>
    </font>
    <font>
      <sz val="10"/>
      <color indexed="12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9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name val="Arial"/>
      <family val="2"/>
    </font>
    <font>
      <sz val="18"/>
      <color indexed="10"/>
      <name val="Arial"/>
      <family val="2"/>
    </font>
    <font>
      <sz val="18"/>
      <name val="Arial"/>
      <family val="2"/>
    </font>
    <font>
      <sz val="18"/>
      <name val="Arial Unicode MS"/>
      <family val="2"/>
      <charset val="136"/>
    </font>
    <font>
      <sz val="18"/>
      <color rgb="FFFF0000"/>
      <name val="Arial"/>
      <family val="2"/>
    </font>
    <font>
      <sz val="18"/>
      <color theme="0"/>
      <name val="Arial"/>
      <family val="2"/>
    </font>
    <font>
      <b/>
      <sz val="18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23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16" fillId="0" borderId="0" xfId="0" applyNumberFormat="1" applyFont="1" applyAlignment="1">
      <alignment wrapText="1"/>
    </xf>
    <xf numFmtId="0" fontId="6" fillId="0" borderId="0" xfId="0" applyNumberFormat="1" applyFont="1"/>
    <xf numFmtId="0" fontId="16" fillId="0" borderId="0" xfId="0" applyNumberFormat="1" applyFont="1" applyFill="1"/>
    <xf numFmtId="0" fontId="6" fillId="0" borderId="0" xfId="0" applyNumberFormat="1" applyFont="1" applyFill="1"/>
    <xf numFmtId="0" fontId="16" fillId="0" borderId="0" xfId="0" applyNumberFormat="1" applyFont="1" applyFill="1" applyBorder="1"/>
    <xf numFmtId="0" fontId="2" fillId="0" borderId="0" xfId="0" applyNumberFormat="1" applyFont="1" applyFill="1"/>
    <xf numFmtId="0" fontId="9" fillId="0" borderId="0" xfId="0" applyNumberFormat="1" applyFont="1" applyFill="1"/>
    <xf numFmtId="0" fontId="3" fillId="0" borderId="0" xfId="0" applyNumberFormat="1" applyFont="1" applyFill="1"/>
    <xf numFmtId="0" fontId="10" fillId="0" borderId="0" xfId="0" applyNumberFormat="1" applyFont="1" applyFill="1"/>
    <xf numFmtId="0" fontId="4" fillId="0" borderId="0" xfId="0" applyNumberFormat="1" applyFont="1" applyFill="1"/>
    <xf numFmtId="0" fontId="11" fillId="0" borderId="0" xfId="0" applyNumberFormat="1" applyFont="1" applyFill="1"/>
    <xf numFmtId="0" fontId="5" fillId="0" borderId="0" xfId="0" applyNumberFormat="1" applyFont="1" applyFill="1"/>
    <xf numFmtId="0" fontId="12" fillId="0" borderId="0" xfId="0" applyNumberFormat="1" applyFont="1" applyFill="1"/>
    <xf numFmtId="0" fontId="13" fillId="0" borderId="0" xfId="0" applyNumberFormat="1" applyFont="1" applyFill="1"/>
    <xf numFmtId="0" fontId="14" fillId="0" borderId="0" xfId="0" applyNumberFormat="1" applyFont="1" applyFill="1"/>
    <xf numFmtId="0" fontId="7" fillId="0" borderId="0" xfId="0" applyNumberFormat="1" applyFont="1" applyFill="1"/>
    <xf numFmtId="0" fontId="8" fillId="0" borderId="0" xfId="0" applyNumberFormat="1" applyFont="1" applyFill="1"/>
    <xf numFmtId="0" fontId="17" fillId="0" borderId="0" xfId="0" applyNumberFormat="1" applyFont="1" applyFill="1"/>
    <xf numFmtId="0" fontId="15" fillId="0" borderId="0" xfId="0" applyNumberFormat="1" applyFont="1"/>
    <xf numFmtId="0" fontId="15" fillId="6" borderId="4" xfId="0" applyNumberFormat="1" applyFont="1" applyFill="1" applyBorder="1"/>
    <xf numFmtId="0" fontId="6" fillId="6" borderId="0" xfId="0" applyNumberFormat="1" applyFont="1" applyFill="1"/>
    <xf numFmtId="0" fontId="1" fillId="6" borderId="1" xfId="0" applyNumberFormat="1" applyFont="1" applyFill="1" applyBorder="1"/>
    <xf numFmtId="0" fontId="21" fillId="2" borderId="0" xfId="0" applyNumberFormat="1" applyFont="1" applyFill="1" applyBorder="1" applyAlignment="1">
      <alignment horizontal="center"/>
    </xf>
    <xf numFmtId="0" fontId="20" fillId="3" borderId="2" xfId="0" applyNumberFormat="1" applyFont="1" applyFill="1" applyBorder="1" applyAlignment="1">
      <alignment wrapText="1"/>
    </xf>
    <xf numFmtId="0" fontId="20" fillId="7" borderId="5" xfId="0" applyNumberFormat="1" applyFont="1" applyFill="1" applyBorder="1" applyAlignment="1">
      <alignment wrapText="1"/>
    </xf>
    <xf numFmtId="0" fontId="22" fillId="3" borderId="3" xfId="0" applyNumberFormat="1" applyFont="1" applyFill="1" applyBorder="1"/>
    <xf numFmtId="0" fontId="23" fillId="7" borderId="5" xfId="0" applyNumberFormat="1" applyFont="1" applyFill="1" applyBorder="1"/>
    <xf numFmtId="0" fontId="24" fillId="2" borderId="0" xfId="0" applyNumberFormat="1" applyFont="1" applyFill="1" applyBorder="1" applyAlignment="1">
      <alignment horizontal="center"/>
    </xf>
    <xf numFmtId="0" fontId="25" fillId="2" borderId="0" xfId="0" applyNumberFormat="1" applyFont="1" applyFill="1" applyBorder="1" applyAlignment="1">
      <alignment horizontal="center"/>
    </xf>
    <xf numFmtId="0" fontId="20" fillId="8" borderId="0" xfId="0" applyNumberFormat="1" applyFont="1" applyFill="1" applyBorder="1"/>
    <xf numFmtId="0" fontId="20" fillId="8" borderId="0" xfId="0" applyNumberFormat="1" applyFont="1" applyFill="1" applyBorder="1" applyAlignment="1"/>
    <xf numFmtId="0" fontId="20" fillId="3" borderId="5" xfId="0" applyNumberFormat="1" applyFont="1" applyFill="1" applyBorder="1" applyAlignment="1">
      <alignment wrapText="1"/>
    </xf>
    <xf numFmtId="0" fontId="20" fillId="4" borderId="5" xfId="0" applyNumberFormat="1" applyFont="1" applyFill="1" applyBorder="1" applyAlignment="1">
      <alignment wrapText="1"/>
    </xf>
    <xf numFmtId="0" fontId="20" fillId="5" borderId="5" xfId="0" applyNumberFormat="1" applyFont="1" applyFill="1" applyBorder="1" applyAlignment="1">
      <alignment wrapText="1"/>
    </xf>
    <xf numFmtId="0" fontId="22" fillId="3" borderId="5" xfId="0" applyNumberFormat="1" applyFont="1" applyFill="1" applyBorder="1"/>
    <xf numFmtId="0" fontId="22" fillId="4" borderId="5" xfId="0" applyNumberFormat="1" applyFont="1" applyFill="1" applyBorder="1"/>
    <xf numFmtId="0" fontId="22" fillId="5" borderId="5" xfId="0" applyNumberFormat="1" applyFont="1" applyFill="1" applyBorder="1"/>
    <xf numFmtId="0" fontId="20" fillId="9" borderId="5" xfId="0" applyNumberFormat="1" applyFont="1" applyFill="1" applyBorder="1" applyAlignment="1">
      <alignment wrapText="1"/>
    </xf>
    <xf numFmtId="0" fontId="22" fillId="9" borderId="5" xfId="0" applyNumberFormat="1" applyFont="1" applyFill="1" applyBorder="1"/>
    <xf numFmtId="0" fontId="26" fillId="0" borderId="0" xfId="0" applyNumberFormat="1" applyFont="1"/>
  </cellXfs>
  <cellStyles count="1">
    <cellStyle name="一般" xfId="0" builtinId="0"/>
  </cellStyles>
  <dxfs count="0"/>
  <tableStyles count="0" defaultTableStyle="TableStyleMedium9" defaultPivotStyle="PivotStyleLight16"/>
  <colors>
    <mruColors>
      <color rgb="FF00FF00"/>
      <color rgb="FFFFCCFF"/>
      <color rgb="FF3366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ummaryBelow="0"/>
  </sheetPr>
  <dimension ref="A1:T139"/>
  <sheetViews>
    <sheetView tabSelected="1" workbookViewId="0">
      <selection activeCell="H3" sqref="H3"/>
    </sheetView>
  </sheetViews>
  <sheetFormatPr defaultColWidth="9" defaultRowHeight="12.75" outlineLevelRow="1"/>
  <cols>
    <col min="1" max="1" width="37.25" style="19" customWidth="1"/>
    <col min="2" max="2" width="15.625" style="5" customWidth="1"/>
    <col min="3" max="3" width="14" style="2" customWidth="1"/>
    <col min="4" max="4" width="14.75" style="2" customWidth="1"/>
    <col min="5" max="5" width="12.875" style="2" customWidth="1"/>
    <col min="6" max="6" width="10.25" style="2" customWidth="1"/>
    <col min="7" max="7" width="11.5" style="2" customWidth="1"/>
    <col min="8" max="16384" width="9" style="2"/>
  </cols>
  <sheetData>
    <row r="1" spans="1:15" s="1" customFormat="1" ht="21.75" customHeight="1">
      <c r="A1" s="24"/>
      <c r="B1" s="32" t="s">
        <v>0</v>
      </c>
      <c r="C1" s="33" t="s">
        <v>65</v>
      </c>
      <c r="D1" s="38" t="s">
        <v>66</v>
      </c>
      <c r="E1" s="34" t="s">
        <v>67</v>
      </c>
      <c r="F1" s="25" t="s">
        <v>42</v>
      </c>
      <c r="G1" s="6"/>
      <c r="H1" s="6"/>
      <c r="I1" s="7"/>
      <c r="J1" s="7"/>
      <c r="K1" s="7"/>
      <c r="L1" s="7"/>
      <c r="M1" s="7"/>
      <c r="N1" s="7"/>
    </row>
    <row r="2" spans="1:15" ht="26.25" thickBot="1">
      <c r="A2" s="26" t="str">
        <f ca="1">LEFT(CELL("Filename",A1),FIND("[",CELL("Filename",A1))-1)</f>
        <v>C:\Users\GB\Desktop\Hex\</v>
      </c>
      <c r="B2" s="35" t="s">
        <v>11</v>
      </c>
      <c r="C2" s="36">
        <v>32.767499999999998</v>
      </c>
      <c r="D2" s="39">
        <v>1</v>
      </c>
      <c r="E2" s="37">
        <v>1</v>
      </c>
      <c r="F2" s="27">
        <v>0</v>
      </c>
      <c r="G2" s="6"/>
      <c r="H2" s="6"/>
      <c r="I2" s="7"/>
      <c r="J2" s="7"/>
      <c r="K2" s="7"/>
      <c r="L2" s="7"/>
      <c r="M2" s="7"/>
      <c r="N2" s="7"/>
    </row>
    <row r="3" spans="1:15" s="3" customFormat="1" ht="23.25">
      <c r="A3" s="30" t="s">
        <v>10</v>
      </c>
      <c r="B3" s="28" t="s">
        <v>9</v>
      </c>
      <c r="C3" s="29">
        <v>100</v>
      </c>
      <c r="D3" s="28" t="s">
        <v>62</v>
      </c>
      <c r="E3" s="29">
        <v>1</v>
      </c>
      <c r="F3" s="7"/>
      <c r="G3" s="7"/>
      <c r="H3" s="7"/>
      <c r="I3" s="7"/>
    </row>
    <row r="4" spans="1:15" s="4" customFormat="1" ht="23.25">
      <c r="A4" s="31" t="s">
        <v>39</v>
      </c>
      <c r="B4" s="23" t="s">
        <v>59</v>
      </c>
      <c r="C4" s="29">
        <v>1</v>
      </c>
      <c r="D4" s="28" t="s">
        <v>63</v>
      </c>
      <c r="E4" s="29">
        <v>0</v>
      </c>
      <c r="F4" s="7"/>
      <c r="G4" s="7"/>
      <c r="H4" s="7"/>
      <c r="I4" s="7"/>
    </row>
    <row r="5" spans="1:15" s="5" customFormat="1" ht="23.25">
      <c r="A5" s="31" t="s">
        <v>40</v>
      </c>
      <c r="B5" s="28" t="s">
        <v>12</v>
      </c>
      <c r="C5" s="29">
        <v>1</v>
      </c>
      <c r="D5" s="28" t="s">
        <v>61</v>
      </c>
      <c r="E5" s="29">
        <v>0</v>
      </c>
      <c r="F5" s="2"/>
      <c r="G5" s="8"/>
    </row>
    <row r="6" spans="1:15" s="7" customFormat="1" ht="23.25">
      <c r="A6" s="31" t="s">
        <v>41</v>
      </c>
      <c r="B6" s="23" t="s">
        <v>13</v>
      </c>
      <c r="C6" s="29">
        <v>1</v>
      </c>
      <c r="D6" s="28" t="s">
        <v>25</v>
      </c>
      <c r="E6" s="29">
        <v>0</v>
      </c>
      <c r="F6" s="2"/>
      <c r="G6" s="8"/>
    </row>
    <row r="7" spans="1:15" s="7" customFormat="1" ht="23.25">
      <c r="A7" s="31" t="s">
        <v>37</v>
      </c>
      <c r="B7" s="28" t="s">
        <v>14</v>
      </c>
      <c r="C7" s="29">
        <v>1</v>
      </c>
      <c r="D7" s="28" t="s">
        <v>26</v>
      </c>
      <c r="E7" s="29">
        <v>0</v>
      </c>
      <c r="F7" s="2"/>
      <c r="G7" s="8"/>
    </row>
    <row r="8" spans="1:15" s="7" customFormat="1" ht="23.25">
      <c r="A8" s="31"/>
      <c r="B8" s="23" t="s">
        <v>15</v>
      </c>
      <c r="C8" s="29">
        <v>1</v>
      </c>
      <c r="D8" s="28" t="s">
        <v>27</v>
      </c>
      <c r="E8" s="29">
        <v>0</v>
      </c>
      <c r="F8" s="2"/>
      <c r="G8" s="8"/>
    </row>
    <row r="9" spans="1:15" s="7" customFormat="1" ht="23.25">
      <c r="A9" s="31"/>
      <c r="B9" s="28" t="s">
        <v>16</v>
      </c>
      <c r="C9" s="29">
        <v>1</v>
      </c>
      <c r="D9" s="28" t="s">
        <v>28</v>
      </c>
      <c r="E9" s="29">
        <v>0</v>
      </c>
      <c r="F9" s="2"/>
      <c r="G9" s="8"/>
      <c r="H9" s="8"/>
    </row>
    <row r="10" spans="1:15" s="7" customFormat="1" ht="23.25">
      <c r="A10" s="31" t="s">
        <v>38</v>
      </c>
      <c r="B10" s="23" t="s">
        <v>17</v>
      </c>
      <c r="C10" s="29">
        <v>1</v>
      </c>
      <c r="D10" s="28" t="s">
        <v>29</v>
      </c>
      <c r="E10" s="29">
        <v>0</v>
      </c>
      <c r="F10" s="2"/>
      <c r="G10" s="8"/>
      <c r="H10" s="8"/>
    </row>
    <row r="11" spans="1:15" s="7" customFormat="1" ht="23.25">
      <c r="A11" s="19"/>
      <c r="B11" s="28" t="s">
        <v>18</v>
      </c>
      <c r="C11" s="29">
        <v>1</v>
      </c>
      <c r="D11" s="28" t="s">
        <v>30</v>
      </c>
      <c r="E11" s="29">
        <v>0</v>
      </c>
      <c r="F11" s="2"/>
      <c r="G11" s="2"/>
      <c r="H11" s="2"/>
      <c r="I11" s="2"/>
      <c r="J11" s="2"/>
      <c r="K11" s="2"/>
      <c r="L11" s="2"/>
      <c r="M11" s="8"/>
      <c r="N11" s="8"/>
    </row>
    <row r="12" spans="1:15" s="7" customFormat="1" ht="23.25" outlineLevel="1">
      <c r="A12" s="19"/>
      <c r="B12" s="23" t="s">
        <v>60</v>
      </c>
      <c r="C12" s="29">
        <v>1</v>
      </c>
      <c r="D12" s="28" t="s">
        <v>31</v>
      </c>
      <c r="E12" s="29">
        <v>0</v>
      </c>
      <c r="F12" s="2"/>
      <c r="G12" s="2"/>
      <c r="H12" s="2"/>
      <c r="I12" s="2"/>
      <c r="J12" s="2"/>
      <c r="K12" s="2"/>
      <c r="L12" s="2"/>
      <c r="M12" s="8"/>
      <c r="N12" s="8"/>
    </row>
    <row r="13" spans="1:15" s="7" customFormat="1" ht="23.25" outlineLevel="1">
      <c r="A13" s="19"/>
      <c r="B13" s="28" t="s">
        <v>19</v>
      </c>
      <c r="C13" s="29">
        <v>1</v>
      </c>
      <c r="D13" s="28" t="s">
        <v>32</v>
      </c>
      <c r="E13" s="29">
        <v>0</v>
      </c>
      <c r="F13" s="2"/>
      <c r="G13" s="2"/>
      <c r="H13" s="2"/>
      <c r="I13" s="2"/>
      <c r="J13" s="2"/>
      <c r="K13" s="2"/>
      <c r="L13" s="2"/>
      <c r="M13" s="10"/>
      <c r="N13" s="8"/>
    </row>
    <row r="14" spans="1:15" s="9" customFormat="1" ht="23.25">
      <c r="A14" s="19"/>
      <c r="B14" s="23" t="s">
        <v>20</v>
      </c>
      <c r="C14" s="29">
        <v>1</v>
      </c>
      <c r="D14" s="28" t="s">
        <v>64</v>
      </c>
      <c r="E14" s="29">
        <v>0</v>
      </c>
      <c r="F14" s="2"/>
      <c r="G14" s="2"/>
      <c r="H14" s="2"/>
      <c r="I14" s="2"/>
      <c r="J14" s="2"/>
      <c r="K14" s="2"/>
      <c r="L14" s="2"/>
      <c r="M14" s="10"/>
      <c r="N14" s="8"/>
      <c r="O14" s="8"/>
    </row>
    <row r="15" spans="1:15" s="9" customFormat="1" ht="23.25">
      <c r="A15" s="19"/>
      <c r="B15" s="28" t="s">
        <v>21</v>
      </c>
      <c r="C15" s="29">
        <v>1</v>
      </c>
      <c r="D15" s="28" t="s">
        <v>33</v>
      </c>
      <c r="E15" s="29">
        <v>0</v>
      </c>
      <c r="F15" s="2"/>
      <c r="G15" s="2"/>
      <c r="H15" s="2"/>
      <c r="I15" s="2"/>
      <c r="J15" s="2"/>
      <c r="K15" s="2"/>
      <c r="L15" s="2"/>
      <c r="M15" s="10"/>
      <c r="N15" s="8"/>
      <c r="O15" s="8"/>
    </row>
    <row r="16" spans="1:15" s="9" customFormat="1" ht="23.25">
      <c r="A16" s="19"/>
      <c r="B16" s="23" t="s">
        <v>22</v>
      </c>
      <c r="C16" s="29">
        <v>1</v>
      </c>
      <c r="D16" s="28" t="s">
        <v>34</v>
      </c>
      <c r="E16" s="29">
        <v>0</v>
      </c>
      <c r="F16" s="2"/>
      <c r="G16" s="2"/>
      <c r="H16" s="2"/>
      <c r="I16" s="2"/>
      <c r="J16" s="2"/>
      <c r="K16" s="2"/>
      <c r="L16" s="2"/>
      <c r="M16" s="10"/>
      <c r="N16" s="8"/>
      <c r="O16" s="8"/>
    </row>
    <row r="17" spans="1:16" s="9" customFormat="1" ht="23.25">
      <c r="A17" s="19"/>
      <c r="B17" s="28" t="s">
        <v>23</v>
      </c>
      <c r="C17" s="29">
        <v>1</v>
      </c>
      <c r="D17" s="28" t="s">
        <v>35</v>
      </c>
      <c r="E17" s="29">
        <v>0</v>
      </c>
      <c r="F17" s="2"/>
      <c r="G17" s="2"/>
      <c r="H17" s="2"/>
      <c r="I17" s="2"/>
      <c r="J17" s="2"/>
      <c r="K17" s="2"/>
      <c r="L17" s="2"/>
      <c r="M17" s="10"/>
      <c r="N17" s="10"/>
      <c r="O17" s="8"/>
    </row>
    <row r="18" spans="1:16" s="9" customFormat="1" ht="23.25">
      <c r="A18" s="19"/>
      <c r="B18" s="23" t="s">
        <v>24</v>
      </c>
      <c r="C18" s="29">
        <v>10</v>
      </c>
      <c r="D18" s="28" t="s">
        <v>36</v>
      </c>
      <c r="E18" s="29">
        <v>11</v>
      </c>
      <c r="F18" s="2"/>
      <c r="G18" s="2"/>
      <c r="H18" s="2"/>
      <c r="I18" s="2"/>
      <c r="J18" s="2"/>
      <c r="K18" s="2"/>
      <c r="L18" s="2"/>
      <c r="M18" s="10"/>
      <c r="N18" s="10"/>
      <c r="O18" s="8"/>
    </row>
    <row r="19" spans="1:16" s="9" customFormat="1" ht="15">
      <c r="C19" s="2"/>
      <c r="D19" s="2"/>
      <c r="E19" s="2"/>
      <c r="F19" s="2"/>
      <c r="G19" s="2"/>
      <c r="H19" s="2"/>
      <c r="I19" s="2"/>
      <c r="J19" s="2"/>
      <c r="K19" s="2"/>
      <c r="L19" s="2"/>
      <c r="M19" s="10"/>
      <c r="N19" s="10"/>
      <c r="O19" s="8"/>
    </row>
    <row r="20" spans="1:16" s="9" customFormat="1" ht="15" outlineLevel="1">
      <c r="C20" s="2"/>
      <c r="D20" s="2"/>
      <c r="E20" s="2"/>
      <c r="F20" s="2"/>
      <c r="G20" s="2"/>
      <c r="H20" s="2"/>
      <c r="I20" s="2"/>
      <c r="J20" s="2"/>
      <c r="K20" s="2"/>
      <c r="L20" s="2"/>
      <c r="M20" s="10"/>
      <c r="N20" s="10"/>
      <c r="O20" s="8"/>
    </row>
    <row r="21" spans="1:16" s="9" customFormat="1" ht="15" outlineLevel="1">
      <c r="A21" s="19"/>
      <c r="B21" s="5"/>
      <c r="C21" s="2"/>
      <c r="D21" s="2"/>
      <c r="E21" s="2"/>
      <c r="F21" s="2"/>
      <c r="G21" s="2"/>
      <c r="H21" s="2"/>
      <c r="I21" s="2"/>
      <c r="J21" s="2"/>
      <c r="K21" s="2"/>
      <c r="L21" s="2"/>
      <c r="M21" s="12"/>
      <c r="N21" s="10"/>
      <c r="O21" s="8"/>
    </row>
    <row r="22" spans="1:16" s="11" customFormat="1" ht="22.5">
      <c r="A22" s="40" t="s">
        <v>68</v>
      </c>
      <c r="B22" s="5"/>
      <c r="C22" s="2"/>
      <c r="D22" s="2"/>
      <c r="E22" s="2"/>
      <c r="F22" s="2"/>
      <c r="G22" s="2"/>
      <c r="H22" s="2"/>
      <c r="I22" s="2"/>
      <c r="J22" s="2"/>
      <c r="K22" s="2"/>
      <c r="L22" s="2"/>
      <c r="M22" s="12"/>
      <c r="N22" s="10"/>
      <c r="O22" s="10"/>
    </row>
    <row r="23" spans="1:16" s="11" customFormat="1" ht="15">
      <c r="A23" s="19" t="s">
        <v>43</v>
      </c>
      <c r="B23" s="5" t="str">
        <f>DEC2HEX(ROUND($C$2*C3,0),4)</f>
        <v>0CCD</v>
      </c>
      <c r="C23" s="2" t="str">
        <f>A23&amp;B23</f>
        <v>#A00C10D0CCD</v>
      </c>
      <c r="D23" s="2"/>
      <c r="E23" s="2"/>
      <c r="F23" s="2"/>
      <c r="G23" s="2"/>
      <c r="H23" s="2"/>
      <c r="I23" s="2"/>
      <c r="J23" s="2"/>
      <c r="K23" s="2"/>
      <c r="L23" s="2"/>
      <c r="M23" s="12"/>
      <c r="N23" s="10"/>
      <c r="O23" s="10"/>
    </row>
    <row r="24" spans="1:16" s="11" customFormat="1" ht="15">
      <c r="A24" s="19" t="s">
        <v>44</v>
      </c>
      <c r="B24" s="5" t="str">
        <f t="shared" ref="B24:B38" si="0">DEC2HEX(ROUND($C$2*C4,0),4)</f>
        <v>0021</v>
      </c>
      <c r="C24" s="2" t="str">
        <f t="shared" ref="C24:C38" si="1">A24&amp;B24</f>
        <v>#A00C11D0021</v>
      </c>
      <c r="D24" s="2"/>
      <c r="E24" s="2"/>
      <c r="F24" s="2"/>
      <c r="G24" s="2"/>
      <c r="H24" s="2"/>
      <c r="I24" s="2"/>
      <c r="J24" s="2"/>
      <c r="K24" s="2"/>
      <c r="L24" s="2"/>
      <c r="M24" s="12"/>
      <c r="N24" s="10"/>
      <c r="O24" s="10"/>
    </row>
    <row r="25" spans="1:16" s="11" customFormat="1" ht="15">
      <c r="A25" s="19" t="s">
        <v>45</v>
      </c>
      <c r="B25" s="5" t="str">
        <f t="shared" si="0"/>
        <v>0021</v>
      </c>
      <c r="C25" s="2" t="str">
        <f t="shared" si="1"/>
        <v>#A00C12D0021</v>
      </c>
      <c r="D25" s="2"/>
      <c r="E25" s="2"/>
      <c r="F25" s="2"/>
      <c r="G25" s="2"/>
      <c r="H25" s="2"/>
      <c r="I25" s="2"/>
      <c r="J25" s="2"/>
      <c r="K25" s="2"/>
      <c r="L25" s="2"/>
      <c r="M25" s="12"/>
      <c r="N25" s="12"/>
      <c r="O25" s="10"/>
    </row>
    <row r="26" spans="1:16" s="11" customFormat="1" ht="15">
      <c r="A26" s="19" t="s">
        <v>46</v>
      </c>
      <c r="B26" s="5" t="str">
        <f t="shared" si="0"/>
        <v>0021</v>
      </c>
      <c r="C26" s="2" t="str">
        <f t="shared" si="1"/>
        <v>#A00C13D0021</v>
      </c>
      <c r="D26" s="2"/>
      <c r="E26" s="2"/>
      <c r="F26" s="2"/>
      <c r="G26" s="2"/>
      <c r="H26" s="2"/>
      <c r="I26" s="2"/>
      <c r="J26" s="2"/>
      <c r="K26" s="2"/>
      <c r="L26" s="2"/>
      <c r="M26" s="12"/>
      <c r="N26" s="12"/>
      <c r="O26" s="10"/>
    </row>
    <row r="27" spans="1:16" s="11" customFormat="1" ht="15">
      <c r="A27" s="19" t="s">
        <v>47</v>
      </c>
      <c r="B27" s="5" t="str">
        <f t="shared" si="0"/>
        <v>0021</v>
      </c>
      <c r="C27" s="2" t="str">
        <f t="shared" si="1"/>
        <v>#A00C14D0021</v>
      </c>
      <c r="D27" s="2"/>
      <c r="E27" s="2"/>
      <c r="F27" s="2"/>
      <c r="G27" s="2"/>
      <c r="H27" s="2"/>
      <c r="I27" s="2"/>
      <c r="J27" s="2"/>
      <c r="K27" s="2"/>
      <c r="L27" s="2"/>
      <c r="M27" s="12"/>
      <c r="N27" s="12"/>
      <c r="O27" s="10"/>
    </row>
    <row r="28" spans="1:16" s="11" customFormat="1" ht="15" outlineLevel="1">
      <c r="A28" s="19" t="s">
        <v>48</v>
      </c>
      <c r="B28" s="5" t="str">
        <f t="shared" si="0"/>
        <v>0021</v>
      </c>
      <c r="C28" s="2" t="str">
        <f t="shared" si="1"/>
        <v>#A00C15D0021</v>
      </c>
      <c r="D28" s="2"/>
      <c r="E28" s="2"/>
      <c r="F28" s="2"/>
      <c r="G28" s="2"/>
      <c r="H28" s="2"/>
      <c r="I28" s="2"/>
      <c r="J28" s="2"/>
      <c r="K28" s="2"/>
      <c r="L28" s="2"/>
      <c r="M28" s="12"/>
      <c r="N28" s="12"/>
      <c r="O28" s="10"/>
    </row>
    <row r="29" spans="1:16" s="11" customFormat="1" ht="15" outlineLevel="1">
      <c r="A29" s="19" t="s">
        <v>49</v>
      </c>
      <c r="B29" s="5" t="str">
        <f t="shared" si="0"/>
        <v>0021</v>
      </c>
      <c r="C29" s="2" t="str">
        <f t="shared" si="1"/>
        <v>#A00C16D0021</v>
      </c>
      <c r="D29" s="2"/>
      <c r="E29" s="2"/>
      <c r="F29" s="2"/>
      <c r="G29" s="2"/>
      <c r="H29" s="2"/>
      <c r="I29" s="2"/>
      <c r="J29" s="2"/>
      <c r="K29" s="2"/>
      <c r="L29" s="2"/>
      <c r="M29" s="14"/>
      <c r="N29" s="12"/>
      <c r="O29" s="10"/>
    </row>
    <row r="30" spans="1:16" s="13" customFormat="1" ht="15">
      <c r="A30" s="19" t="s">
        <v>50</v>
      </c>
      <c r="B30" s="5" t="str">
        <f t="shared" si="0"/>
        <v>0021</v>
      </c>
      <c r="C30" s="2" t="str">
        <f t="shared" si="1"/>
        <v>#A00C17D0021</v>
      </c>
      <c r="D30" s="2"/>
      <c r="E30" s="2"/>
      <c r="F30" s="2"/>
      <c r="G30" s="2"/>
      <c r="H30" s="2"/>
      <c r="I30" s="2"/>
      <c r="J30" s="2"/>
      <c r="K30" s="2"/>
      <c r="L30" s="2"/>
      <c r="M30" s="14"/>
      <c r="N30" s="12"/>
      <c r="O30" s="12"/>
      <c r="P30" s="12"/>
    </row>
    <row r="31" spans="1:16" s="13" customFormat="1" ht="15">
      <c r="A31" s="19" t="s">
        <v>51</v>
      </c>
      <c r="B31" s="5" t="str">
        <f t="shared" si="0"/>
        <v>0021</v>
      </c>
      <c r="C31" s="2" t="str">
        <f t="shared" si="1"/>
        <v>#A00C18D0021</v>
      </c>
      <c r="D31" s="2"/>
      <c r="E31" s="2"/>
      <c r="F31" s="2"/>
      <c r="G31" s="2"/>
      <c r="H31" s="2"/>
      <c r="I31" s="2"/>
      <c r="J31" s="2"/>
      <c r="K31" s="2"/>
      <c r="L31" s="2"/>
      <c r="M31" s="14"/>
      <c r="N31" s="12"/>
      <c r="O31" s="12"/>
      <c r="P31" s="12"/>
    </row>
    <row r="32" spans="1:16" s="13" customFormat="1" ht="15">
      <c r="A32" s="19" t="s">
        <v>52</v>
      </c>
      <c r="B32" s="5" t="str">
        <f t="shared" si="0"/>
        <v>0021</v>
      </c>
      <c r="C32" s="2" t="str">
        <f t="shared" si="1"/>
        <v>#A00C19D0021</v>
      </c>
      <c r="D32" s="2"/>
      <c r="E32" s="2"/>
      <c r="F32" s="2"/>
      <c r="G32" s="2"/>
      <c r="H32" s="2"/>
      <c r="I32" s="2"/>
      <c r="J32" s="2"/>
      <c r="K32" s="2"/>
      <c r="L32" s="2"/>
      <c r="M32" s="14"/>
      <c r="N32" s="12"/>
      <c r="O32" s="12"/>
      <c r="P32" s="12"/>
    </row>
    <row r="33" spans="1:16" s="13" customFormat="1" ht="15">
      <c r="A33" s="19" t="s">
        <v>53</v>
      </c>
      <c r="B33" s="5" t="str">
        <f t="shared" si="0"/>
        <v>0021</v>
      </c>
      <c r="C33" s="2" t="str">
        <f t="shared" si="1"/>
        <v>#A00C1AD0021</v>
      </c>
      <c r="D33" s="2"/>
      <c r="E33" s="2"/>
      <c r="F33" s="2"/>
      <c r="G33" s="2"/>
      <c r="H33" s="2"/>
      <c r="I33" s="2"/>
      <c r="J33" s="2"/>
      <c r="K33" s="2"/>
      <c r="L33" s="2"/>
      <c r="M33" s="14"/>
      <c r="N33" s="14"/>
      <c r="O33" s="12"/>
      <c r="P33" s="12"/>
    </row>
    <row r="34" spans="1:16" s="13" customFormat="1" ht="15">
      <c r="A34" s="19" t="s">
        <v>54</v>
      </c>
      <c r="B34" s="5" t="str">
        <f t="shared" si="0"/>
        <v>0021</v>
      </c>
      <c r="C34" s="2" t="str">
        <f t="shared" si="1"/>
        <v>#A00C1BD0021</v>
      </c>
      <c r="D34" s="2"/>
      <c r="E34" s="2"/>
      <c r="F34" s="2"/>
      <c r="G34" s="2"/>
      <c r="H34" s="2"/>
      <c r="I34" s="2"/>
      <c r="J34" s="2"/>
      <c r="K34" s="2"/>
      <c r="L34" s="2"/>
      <c r="M34" s="14"/>
      <c r="N34" s="14"/>
      <c r="O34" s="12"/>
      <c r="P34" s="12"/>
    </row>
    <row r="35" spans="1:16" s="13" customFormat="1" ht="15">
      <c r="A35" s="19" t="s">
        <v>55</v>
      </c>
      <c r="B35" s="5" t="str">
        <f t="shared" si="0"/>
        <v>0021</v>
      </c>
      <c r="C35" s="2" t="str">
        <f t="shared" si="1"/>
        <v>#A00C1CD0021</v>
      </c>
      <c r="D35" s="2"/>
      <c r="E35" s="2"/>
      <c r="F35" s="2"/>
      <c r="G35" s="2"/>
      <c r="H35" s="2"/>
      <c r="I35" s="2"/>
      <c r="J35" s="2"/>
      <c r="K35" s="2"/>
      <c r="L35" s="2"/>
      <c r="M35" s="14"/>
      <c r="N35" s="14"/>
      <c r="O35" s="12"/>
      <c r="P35" s="12"/>
    </row>
    <row r="36" spans="1:16" s="13" customFormat="1" ht="15" outlineLevel="1">
      <c r="A36" s="19" t="s">
        <v>56</v>
      </c>
      <c r="B36" s="5" t="str">
        <f t="shared" si="0"/>
        <v>0021</v>
      </c>
      <c r="C36" s="2" t="str">
        <f t="shared" si="1"/>
        <v>#A00C1DD0021</v>
      </c>
      <c r="D36" s="2"/>
      <c r="E36" s="2"/>
      <c r="F36" s="2"/>
      <c r="G36" s="2"/>
      <c r="H36" s="2"/>
      <c r="I36" s="2"/>
      <c r="J36" s="2"/>
      <c r="K36" s="2"/>
      <c r="L36" s="2"/>
      <c r="M36" s="14"/>
      <c r="N36" s="14"/>
      <c r="O36" s="12"/>
      <c r="P36" s="12"/>
    </row>
    <row r="37" spans="1:16" s="13" customFormat="1" ht="15" outlineLevel="1">
      <c r="A37" s="19" t="s">
        <v>57</v>
      </c>
      <c r="B37" s="5" t="str">
        <f t="shared" si="0"/>
        <v>0021</v>
      </c>
      <c r="C37" s="2" t="str">
        <f t="shared" si="1"/>
        <v>#A00C1ED0021</v>
      </c>
      <c r="D37" s="2"/>
      <c r="E37" s="2"/>
      <c r="F37" s="2"/>
      <c r="G37" s="2"/>
      <c r="H37" s="2"/>
      <c r="I37" s="2"/>
      <c r="J37" s="2"/>
      <c r="K37" s="2"/>
      <c r="L37" s="2"/>
      <c r="M37" s="15"/>
      <c r="N37" s="14"/>
      <c r="O37" s="12"/>
      <c r="P37" s="12"/>
    </row>
    <row r="38" spans="1:16" s="14" customFormat="1">
      <c r="A38" s="19" t="s">
        <v>58</v>
      </c>
      <c r="B38" s="5" t="str">
        <f t="shared" si="0"/>
        <v>0148</v>
      </c>
      <c r="C38" s="2" t="str">
        <f t="shared" si="1"/>
        <v>#A00C1FD0148</v>
      </c>
      <c r="D38" s="2"/>
      <c r="E38" s="2"/>
      <c r="F38" s="2"/>
      <c r="G38" s="2"/>
      <c r="H38" s="2"/>
      <c r="I38" s="2"/>
      <c r="J38" s="2"/>
      <c r="K38" s="2"/>
      <c r="L38" s="2"/>
      <c r="M38" s="15"/>
    </row>
    <row r="39" spans="1:16" s="14" customFormat="1">
      <c r="A39" s="19"/>
      <c r="B39" s="5"/>
      <c r="C39" s="2"/>
      <c r="D39" s="2"/>
      <c r="E39" s="2"/>
      <c r="F39" s="2"/>
      <c r="G39" s="2"/>
      <c r="H39" s="2"/>
      <c r="I39" s="2"/>
      <c r="J39" s="2"/>
      <c r="K39" s="2"/>
      <c r="L39" s="2"/>
      <c r="M39" s="15"/>
    </row>
    <row r="40" spans="1:16" s="14" customFormat="1">
      <c r="A40" s="19"/>
      <c r="B40" s="5"/>
      <c r="C40" s="2"/>
      <c r="D40" s="2"/>
      <c r="E40" s="2"/>
      <c r="F40" s="2"/>
      <c r="G40" s="2"/>
      <c r="H40" s="2"/>
      <c r="I40" s="2"/>
      <c r="J40" s="2"/>
      <c r="K40" s="2"/>
      <c r="L40" s="2"/>
      <c r="M40" s="15"/>
    </row>
    <row r="41" spans="1:16" s="14" customFormat="1">
      <c r="A41" s="19"/>
      <c r="B41" s="5"/>
      <c r="C41" s="2"/>
      <c r="D41" s="2"/>
      <c r="E41" s="2"/>
      <c r="F41" s="2"/>
      <c r="G41" s="2"/>
      <c r="H41" s="2"/>
      <c r="I41" s="2"/>
      <c r="J41" s="2"/>
      <c r="K41" s="2"/>
      <c r="L41" s="2"/>
      <c r="M41" s="15"/>
      <c r="N41" s="15"/>
    </row>
    <row r="42" spans="1:16" s="14" customFormat="1">
      <c r="A42" s="19"/>
      <c r="B42" s="5"/>
      <c r="C42" s="2"/>
      <c r="D42" s="2"/>
      <c r="E42" s="2"/>
      <c r="F42" s="2"/>
      <c r="G42" s="2"/>
      <c r="H42" s="2"/>
      <c r="I42" s="2"/>
      <c r="J42" s="2"/>
      <c r="K42" s="2"/>
      <c r="L42" s="2"/>
      <c r="M42" s="15"/>
      <c r="N42" s="15"/>
    </row>
    <row r="43" spans="1:16" s="14" customFormat="1">
      <c r="A43" s="19"/>
      <c r="B43" s="5"/>
      <c r="C43" s="2"/>
      <c r="D43" s="2"/>
      <c r="E43" s="2"/>
      <c r="F43" s="2"/>
      <c r="G43" s="2"/>
      <c r="H43" s="2"/>
      <c r="I43" s="2"/>
      <c r="J43" s="2"/>
      <c r="K43" s="2"/>
      <c r="L43" s="2"/>
      <c r="M43" s="15"/>
      <c r="N43" s="15"/>
    </row>
    <row r="44" spans="1:16" s="14" customFormat="1" outlineLevel="1">
      <c r="A44" s="19"/>
      <c r="B44" s="5"/>
      <c r="C44" s="2"/>
      <c r="D44" s="2"/>
      <c r="E44" s="2"/>
      <c r="F44" s="2"/>
      <c r="G44" s="2"/>
      <c r="H44" s="2"/>
      <c r="I44" s="2"/>
      <c r="J44" s="2"/>
      <c r="K44" s="2"/>
      <c r="L44" s="2"/>
      <c r="M44" s="15"/>
      <c r="N44" s="15"/>
    </row>
    <row r="45" spans="1:16" s="14" customFormat="1" outlineLevel="1">
      <c r="A45" s="19"/>
      <c r="B45" s="5"/>
      <c r="C45" s="2"/>
      <c r="D45" s="2"/>
      <c r="E45" s="2"/>
      <c r="F45" s="2"/>
      <c r="G45" s="2"/>
      <c r="H45" s="2"/>
      <c r="I45" s="2"/>
      <c r="J45" s="2"/>
      <c r="K45" s="2"/>
      <c r="L45" s="2"/>
      <c r="M45" s="16"/>
      <c r="N45" s="15"/>
    </row>
    <row r="46" spans="1:16" s="15" customFormat="1">
      <c r="A46" s="19"/>
      <c r="B46" s="5"/>
      <c r="C46" s="2"/>
      <c r="D46" s="2"/>
      <c r="E46" s="2"/>
      <c r="F46" s="2"/>
      <c r="G46" s="2"/>
      <c r="H46" s="2"/>
      <c r="I46" s="2"/>
      <c r="J46" s="2"/>
      <c r="K46" s="2"/>
      <c r="L46" s="2"/>
      <c r="M46" s="16"/>
    </row>
    <row r="47" spans="1:16" s="15" customFormat="1">
      <c r="A47" s="19"/>
      <c r="B47" s="5"/>
      <c r="C47" s="2"/>
      <c r="D47" s="2"/>
      <c r="E47" s="2"/>
      <c r="F47" s="2"/>
      <c r="G47" s="2"/>
      <c r="H47" s="2"/>
      <c r="I47" s="2"/>
      <c r="J47" s="2"/>
      <c r="K47" s="2"/>
      <c r="L47" s="2"/>
      <c r="M47" s="16"/>
    </row>
    <row r="48" spans="1:16" s="15" customFormat="1">
      <c r="A48" s="19"/>
      <c r="B48" s="5"/>
      <c r="C48" s="2"/>
      <c r="D48" s="2"/>
      <c r="E48" s="2"/>
      <c r="F48" s="2"/>
      <c r="G48" s="2"/>
      <c r="H48" s="2"/>
      <c r="I48" s="2"/>
      <c r="J48" s="2"/>
      <c r="K48" s="2"/>
      <c r="L48" s="2"/>
      <c r="M48" s="16"/>
    </row>
    <row r="49" spans="1:14" s="15" customFormat="1">
      <c r="A49" s="19"/>
      <c r="B49" s="5"/>
      <c r="C49" s="2"/>
      <c r="D49" s="2"/>
      <c r="E49" s="2"/>
      <c r="F49" s="2"/>
      <c r="G49" s="2"/>
      <c r="H49" s="2"/>
      <c r="I49" s="2"/>
      <c r="J49" s="2"/>
      <c r="K49" s="2"/>
      <c r="L49" s="2"/>
      <c r="M49" s="16"/>
      <c r="N49" s="16"/>
    </row>
    <row r="50" spans="1:14" s="15" customFormat="1">
      <c r="A50" s="19"/>
      <c r="B50" s="5"/>
      <c r="C50" s="2"/>
      <c r="D50" s="2"/>
      <c r="E50" s="2"/>
      <c r="F50" s="2"/>
      <c r="G50" s="2"/>
      <c r="H50" s="2"/>
      <c r="I50" s="2"/>
      <c r="J50" s="2"/>
      <c r="K50" s="2"/>
      <c r="L50" s="2"/>
      <c r="M50" s="16"/>
      <c r="N50" s="16"/>
    </row>
    <row r="51" spans="1:14" s="15" customFormat="1">
      <c r="A51" s="19"/>
      <c r="B51" s="5"/>
      <c r="C51" s="2"/>
      <c r="D51" s="2"/>
      <c r="E51" s="2"/>
      <c r="F51" s="2"/>
      <c r="G51" s="2"/>
      <c r="H51" s="2"/>
      <c r="I51" s="2"/>
      <c r="J51" s="2"/>
      <c r="K51" s="2"/>
      <c r="L51" s="2"/>
      <c r="M51" s="16"/>
      <c r="N51" s="16"/>
    </row>
    <row r="52" spans="1:14" s="15" customFormat="1" outlineLevel="1">
      <c r="A52" s="19"/>
      <c r="B52" s="5"/>
      <c r="C52" s="2"/>
      <c r="D52" s="2"/>
      <c r="E52" s="2"/>
      <c r="F52" s="2"/>
      <c r="G52" s="2"/>
      <c r="H52" s="2"/>
      <c r="I52" s="2"/>
      <c r="J52" s="2"/>
      <c r="K52" s="2"/>
      <c r="L52" s="2"/>
      <c r="M52" s="16"/>
      <c r="N52" s="16"/>
    </row>
    <row r="53" spans="1:14" s="15" customFormat="1" outlineLevel="1">
      <c r="A53" s="19"/>
      <c r="B53" s="5"/>
      <c r="C53" s="2"/>
      <c r="D53" s="2"/>
      <c r="E53" s="2"/>
      <c r="F53" s="2"/>
      <c r="G53" s="2"/>
      <c r="H53" s="2"/>
      <c r="I53" s="2"/>
      <c r="J53" s="2"/>
      <c r="K53" s="2"/>
      <c r="L53" s="2"/>
      <c r="M53" s="17"/>
      <c r="N53" s="16"/>
    </row>
    <row r="54" spans="1:14" s="16" customFormat="1">
      <c r="A54" s="19"/>
      <c r="B54" s="5"/>
      <c r="C54" s="2"/>
      <c r="D54" s="2"/>
      <c r="E54" s="2"/>
      <c r="F54" s="2"/>
      <c r="G54" s="2"/>
      <c r="H54" s="2"/>
      <c r="I54" s="2"/>
      <c r="J54" s="2"/>
      <c r="K54" s="2"/>
      <c r="L54" s="2"/>
      <c r="M54" s="17"/>
    </row>
    <row r="55" spans="1:14" s="16" customFormat="1">
      <c r="A55" s="19"/>
      <c r="B55" s="5"/>
      <c r="C55" s="2"/>
      <c r="D55" s="2"/>
      <c r="E55" s="2"/>
      <c r="F55" s="2"/>
      <c r="G55" s="2"/>
      <c r="H55" s="2"/>
      <c r="I55" s="2"/>
      <c r="J55" s="2"/>
      <c r="K55" s="2"/>
      <c r="L55" s="2"/>
      <c r="M55" s="17"/>
    </row>
    <row r="56" spans="1:14" s="16" customFormat="1">
      <c r="A56" s="19"/>
      <c r="B56" s="5"/>
      <c r="C56" s="2"/>
      <c r="D56" s="2"/>
      <c r="E56" s="2"/>
      <c r="F56" s="2"/>
      <c r="G56" s="2"/>
      <c r="H56" s="2"/>
      <c r="I56" s="2"/>
      <c r="J56" s="2"/>
      <c r="K56" s="2"/>
      <c r="L56" s="2"/>
      <c r="M56" s="17"/>
    </row>
    <row r="57" spans="1:14" s="16" customFormat="1">
      <c r="A57" s="19"/>
      <c r="B57" s="5"/>
      <c r="C57" s="2"/>
      <c r="D57" s="2"/>
      <c r="E57" s="2"/>
      <c r="F57" s="2"/>
      <c r="G57" s="2"/>
      <c r="H57" s="2"/>
      <c r="I57" s="2"/>
      <c r="J57" s="2"/>
      <c r="K57" s="2"/>
      <c r="L57" s="2"/>
      <c r="M57" s="17"/>
      <c r="N57" s="17"/>
    </row>
    <row r="58" spans="1:14" s="16" customFormat="1">
      <c r="A58" s="19"/>
      <c r="B58" s="5"/>
      <c r="C58" s="2"/>
      <c r="D58" s="2"/>
      <c r="E58" s="2"/>
      <c r="F58" s="2"/>
      <c r="G58" s="2"/>
      <c r="H58" s="2"/>
      <c r="I58" s="2"/>
      <c r="J58" s="2"/>
      <c r="K58" s="2"/>
      <c r="L58" s="2"/>
      <c r="M58" s="17"/>
      <c r="N58" s="17"/>
    </row>
    <row r="59" spans="1:14" s="16" customFormat="1">
      <c r="A59" s="19"/>
      <c r="B59" s="5"/>
      <c r="C59" s="2"/>
      <c r="D59" s="2"/>
      <c r="E59" s="2"/>
      <c r="F59" s="2"/>
      <c r="G59" s="2"/>
      <c r="H59" s="2"/>
      <c r="I59" s="2"/>
      <c r="J59" s="2"/>
      <c r="K59" s="2"/>
      <c r="L59" s="2"/>
      <c r="M59" s="17"/>
      <c r="N59" s="17"/>
    </row>
    <row r="60" spans="1:14" s="16" customFormat="1">
      <c r="A60" s="19"/>
      <c r="B60" s="5"/>
      <c r="C60" s="2"/>
      <c r="D60" s="2"/>
      <c r="E60" s="2"/>
      <c r="F60" s="2"/>
      <c r="G60" s="2"/>
      <c r="H60" s="2"/>
      <c r="I60" s="2"/>
      <c r="J60" s="2"/>
      <c r="K60" s="2"/>
      <c r="L60" s="2"/>
      <c r="M60" s="17"/>
      <c r="N60" s="17"/>
    </row>
    <row r="61" spans="1:14" s="16" customFormat="1">
      <c r="A61" s="19"/>
      <c r="B61" s="5"/>
      <c r="C61" s="2"/>
      <c r="D61" s="2"/>
      <c r="E61" s="2"/>
      <c r="F61" s="2"/>
      <c r="G61" s="2"/>
      <c r="H61" s="2"/>
      <c r="I61" s="2"/>
      <c r="J61" s="2"/>
      <c r="K61" s="2"/>
      <c r="L61" s="2"/>
      <c r="M61" s="18"/>
      <c r="N61" s="17"/>
    </row>
    <row r="62" spans="1:14" s="17" customFormat="1">
      <c r="A62" s="19"/>
      <c r="B62" s="5"/>
      <c r="C62" s="2"/>
      <c r="D62" s="2"/>
      <c r="E62" s="2"/>
      <c r="F62" s="2"/>
      <c r="G62" s="2"/>
      <c r="H62" s="2"/>
      <c r="I62" s="2"/>
      <c r="J62" s="2"/>
      <c r="K62" s="2"/>
      <c r="L62" s="2"/>
      <c r="M62" s="4"/>
    </row>
    <row r="63" spans="1:14" s="17" customFormat="1">
      <c r="A63" s="19"/>
      <c r="B63" s="5"/>
      <c r="C63" s="2"/>
      <c r="D63" s="2"/>
      <c r="E63" s="2"/>
      <c r="F63" s="2"/>
      <c r="G63" s="2"/>
      <c r="H63" s="2"/>
      <c r="I63" s="2"/>
      <c r="J63" s="2"/>
      <c r="K63" s="2"/>
      <c r="L63" s="2"/>
      <c r="M63" s="3"/>
    </row>
    <row r="64" spans="1:14" s="17" customFormat="1">
      <c r="A64" s="19"/>
      <c r="B64" s="5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</row>
    <row r="65" spans="1:14" s="17" customFormat="1">
      <c r="A65" s="19"/>
      <c r="B65" s="5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18"/>
    </row>
    <row r="66" spans="1:14" s="17" customFormat="1">
      <c r="A66" s="19"/>
      <c r="B66" s="5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4"/>
    </row>
    <row r="67" spans="1:14" s="17" customFormat="1">
      <c r="A67" s="19"/>
      <c r="B67" s="5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3"/>
    </row>
    <row r="68" spans="1:14" s="17" customFormat="1">
      <c r="A68" s="19"/>
      <c r="B68" s="5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</row>
    <row r="69" spans="1:14" s="17" customFormat="1">
      <c r="A69" s="19"/>
      <c r="B69" s="5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</row>
    <row r="70" spans="1:14" s="18" customFormat="1">
      <c r="A70" s="19"/>
      <c r="B70" s="5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</row>
    <row r="71" spans="1:14" s="4" customFormat="1">
      <c r="A71" s="19"/>
      <c r="B71" s="5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</row>
    <row r="72" spans="1:14" s="3" customFormat="1">
      <c r="A72" s="19"/>
      <c r="B72" s="5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</row>
    <row r="79" spans="1:14" outlineLevel="1"/>
    <row r="80" spans="1:14" outlineLevel="1"/>
    <row r="87" outlineLevel="1"/>
    <row r="88" outlineLevel="1"/>
    <row r="95" outlineLevel="1"/>
    <row r="96" outlineLevel="1"/>
    <row r="103" outlineLevel="1"/>
    <row r="104" outlineLevel="1"/>
    <row r="111" outlineLevel="1"/>
    <row r="112" outlineLevel="1"/>
    <row r="119" spans="13:13" outlineLevel="1"/>
    <row r="120" spans="13:13" outlineLevel="1"/>
    <row r="127" spans="13:13" ht="13.5" outlineLevel="1" thickBot="1"/>
    <row r="128" spans="13:13" outlineLevel="1">
      <c r="M128" s="20" t="s">
        <v>1</v>
      </c>
    </row>
    <row r="129" spans="1:20" ht="15.75" thickBot="1">
      <c r="M129" s="22">
        <f>COUNTA(M260:O260)</f>
        <v>0</v>
      </c>
    </row>
    <row r="130" spans="1:20">
      <c r="M130" s="3"/>
    </row>
    <row r="131" spans="1:20" ht="13.5" thickBot="1"/>
    <row r="132" spans="1:20">
      <c r="N132" s="20" t="s">
        <v>2</v>
      </c>
    </row>
    <row r="133" spans="1:20" ht="15.75" thickBot="1">
      <c r="N133" s="22">
        <f>COUNTA(M268:U268)</f>
        <v>0</v>
      </c>
    </row>
    <row r="134" spans="1:20">
      <c r="N134" s="3"/>
    </row>
    <row r="135" spans="1:20" outlineLevel="1"/>
    <row r="136" spans="1:20" ht="13.5" outlineLevel="1" thickBot="1"/>
    <row r="137" spans="1:20" s="21" customFormat="1">
      <c r="A137" s="19"/>
      <c r="B137" s="5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0" t="s">
        <v>3</v>
      </c>
      <c r="P137" s="20" t="s">
        <v>4</v>
      </c>
      <c r="Q137" s="20" t="s">
        <v>5</v>
      </c>
      <c r="R137" s="20" t="s">
        <v>6</v>
      </c>
      <c r="S137" s="20" t="s">
        <v>7</v>
      </c>
      <c r="T137" s="20" t="s">
        <v>8</v>
      </c>
    </row>
    <row r="138" spans="1:20" s="21" customFormat="1" ht="15.75" thickBot="1">
      <c r="A138" s="19"/>
      <c r="B138" s="5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2">
        <f>COUNTA(M276:R276)</f>
        <v>0</v>
      </c>
      <c r="P138" s="22">
        <f>COUNTA(M284:S284)</f>
        <v>0</v>
      </c>
      <c r="Q138" s="22">
        <f>COUNTA(M292:R292)</f>
        <v>0</v>
      </c>
      <c r="R138" s="22">
        <f>COUNTA(M300:Q300)</f>
        <v>0</v>
      </c>
      <c r="S138" s="22">
        <f>COUNTA(M304:M304)</f>
        <v>0</v>
      </c>
      <c r="T138" s="22">
        <f>COUNTA(M316:V316)</f>
        <v>0</v>
      </c>
    </row>
    <row r="139" spans="1:20" s="3" customFormat="1">
      <c r="A139" s="19"/>
      <c r="B139" s="5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</row>
  </sheetData>
  <phoneticPr fontId="0" type="noConversion"/>
  <pageMargins left="0.75" right="0.75" top="1" bottom="1" header="0.5" footer="0.5"/>
  <pageSetup orientation="portrait" horizontalDpi="4294967292" verticalDpi="120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2</vt:i4>
      </vt:variant>
    </vt:vector>
  </HeadingPairs>
  <TitlesOfParts>
    <vt:vector size="3" baseType="lpstr">
      <vt:lpstr>Timing_frontend</vt:lpstr>
      <vt:lpstr>dv</vt:lpstr>
      <vt:lpstr>Tsub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msc</dc:creator>
  <cp:lastModifiedBy>GBLiao</cp:lastModifiedBy>
  <dcterms:created xsi:type="dcterms:W3CDTF">2002-10-04T10:17:24Z</dcterms:created>
  <dcterms:modified xsi:type="dcterms:W3CDTF">2018-06-21T09:29:38Z</dcterms:modified>
</cp:coreProperties>
</file>